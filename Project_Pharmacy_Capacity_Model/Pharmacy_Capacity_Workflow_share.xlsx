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nde\OneDrive\Documents\MyWork Projects\"/>
    </mc:Choice>
  </mc:AlternateContent>
  <xr:revisionPtr revIDLastSave="0" documentId="13_ncr:1_{655E8C8B-2C8D-4940-8592-D2BEFD6234A3}" xr6:coauthVersionLast="47" xr6:coauthVersionMax="47" xr10:uidLastSave="{00000000-0000-0000-0000-000000000000}"/>
  <bookViews>
    <workbookView xWindow="-120" yWindow="-120" windowWidth="29040" windowHeight="16440" xr2:uid="{02968FCC-B547-4040-9E68-06E67D0BA3E9}"/>
  </bookViews>
  <sheets>
    <sheet name="Overall Dowtim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4" i="1" l="1"/>
  <c r="K38" i="1"/>
  <c r="H38" i="1"/>
  <c r="E38" i="1"/>
  <c r="C38" i="1"/>
  <c r="O23" i="1"/>
  <c r="L22" i="1"/>
  <c r="O21" i="1"/>
  <c r="O20" i="1"/>
  <c r="O24" i="1" s="1"/>
  <c r="L20" i="1"/>
  <c r="L23" i="1" s="1"/>
  <c r="I19" i="1"/>
  <c r="I24" i="1" s="1"/>
  <c r="T13" i="1"/>
  <c r="U12" i="1"/>
  <c r="I26" i="1" l="1"/>
</calcChain>
</file>

<file path=xl/sharedStrings.xml><?xml version="1.0" encoding="utf-8"?>
<sst xmlns="http://schemas.openxmlformats.org/spreadsheetml/2006/main" count="113" uniqueCount="52">
  <si>
    <t>#</t>
  </si>
  <si>
    <t>Associates</t>
  </si>
  <si>
    <t>Jennifer</t>
  </si>
  <si>
    <t>Fill</t>
  </si>
  <si>
    <t>Lunch</t>
  </si>
  <si>
    <t>Prefill</t>
  </si>
  <si>
    <t>Atoinette</t>
  </si>
  <si>
    <t>Eli</t>
  </si>
  <si>
    <t>Justin</t>
  </si>
  <si>
    <t>Elena</t>
  </si>
  <si>
    <t>Anesiah</t>
  </si>
  <si>
    <t>Packing</t>
  </si>
  <si>
    <t>Benesia</t>
  </si>
  <si>
    <t>Shipping</t>
  </si>
  <si>
    <t>Brittney</t>
  </si>
  <si>
    <t>Teamiller</t>
  </si>
  <si>
    <t>Keva</t>
  </si>
  <si>
    <t>No breaks Output:</t>
  </si>
  <si>
    <t>Lunchs + pulling 1 filler every 30mins starting at 12:30pm:</t>
  </si>
  <si>
    <t>Lost Orders</t>
  </si>
  <si>
    <t>Actual Output:</t>
  </si>
  <si>
    <t>Pot. Output</t>
  </si>
  <si>
    <t>gain ship</t>
  </si>
  <si>
    <t>gain pack</t>
  </si>
  <si>
    <t>Downtime</t>
  </si>
  <si>
    <t>Total Hours</t>
  </si>
  <si>
    <t>Productive hours</t>
  </si>
  <si>
    <t>Lunchs</t>
  </si>
  <si>
    <t>6/fillers x 6.5/hrs = 39</t>
  </si>
  <si>
    <t>6/fillers x 5.5/hrs = 33</t>
  </si>
  <si>
    <t>6 filler 1st Breaks</t>
  </si>
  <si>
    <r>
      <t xml:space="preserve">Potential Orders by </t>
    </r>
    <r>
      <rPr>
        <b/>
        <sz val="11"/>
        <color theme="1"/>
        <rFont val="Calibri"/>
        <family val="2"/>
        <scheme val="minor"/>
      </rPr>
      <t>11:00AM</t>
    </r>
  </si>
  <si>
    <r>
      <t xml:space="preserve">Potential Orders by </t>
    </r>
    <r>
      <rPr>
        <b/>
        <sz val="11"/>
        <color theme="1"/>
        <rFont val="Calibri"/>
        <family val="2"/>
        <scheme val="minor"/>
      </rPr>
      <t>1:00PM</t>
    </r>
  </si>
  <si>
    <t>2/fillers x 3.5 = 9</t>
  </si>
  <si>
    <t>2/fillers Breaks (3.5)</t>
  </si>
  <si>
    <t>6 fillers 1st breaks</t>
  </si>
  <si>
    <t>Lunches 11:30 - 1:00PM</t>
  </si>
  <si>
    <t>1/filler = 4.5</t>
  </si>
  <si>
    <t>1/filler Break (4.5)</t>
  </si>
  <si>
    <t>4 filler breaks</t>
  </si>
  <si>
    <t>1/filler = 3</t>
  </si>
  <si>
    <t>1/filler Break (3)</t>
  </si>
  <si>
    <t>total orders</t>
  </si>
  <si>
    <t>Total Productive hours</t>
  </si>
  <si>
    <t>Total lost Orders because of downtime:</t>
  </si>
  <si>
    <t>Total</t>
  </si>
  <si>
    <r>
      <t xml:space="preserve">33 + 9 + 4.5 + 3 = </t>
    </r>
    <r>
      <rPr>
        <b/>
        <sz val="11"/>
        <color theme="1"/>
        <rFont val="Calibri"/>
        <family val="2"/>
        <scheme val="minor"/>
      </rPr>
      <t>49.5/hrs</t>
    </r>
  </si>
  <si>
    <t>Pot. Output - downtime = Throughput (6.5hrs)</t>
  </si>
  <si>
    <t>Estimated Output (6.5hrs)</t>
  </si>
  <si>
    <t>Estimated Output (1hrs)</t>
  </si>
  <si>
    <t>Estimated Output (30mins)</t>
  </si>
  <si>
    <t>Estimated Output (15mins)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</si>
</sst>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102">
    <xf numFmtId="0" fontId="0" fillId="0" borderId="0" xfId="0"/>
    <xf numFmtId="0" fontId="0" fillId="0" borderId="1" xfId="0" applyBorder="1"/>
    <xf numFmtId="0" fontId="4" fillId="0" borderId="1" xfId="0" applyFont="1" applyBorder="1" applyAlignment="1">
      <alignment horizontal="center" vertical="center" wrapText="1"/>
    </xf>
    <xf numFmtId="20" fontId="4" fillId="0" borderId="2" xfId="0" applyNumberFormat="1" applyFont="1" applyBorder="1" applyAlignment="1">
      <alignment horizontal="center" vertical="center" wrapText="1"/>
    </xf>
    <xf numFmtId="20" fontId="4" fillId="5" borderId="2" xfId="0" applyNumberFormat="1" applyFont="1" applyFill="1" applyBorder="1" applyAlignment="1">
      <alignment horizontal="center" vertical="center" wrapText="1"/>
    </xf>
    <xf numFmtId="0" fontId="0" fillId="5" borderId="3" xfId="0" applyFill="1" applyBorder="1" applyAlignment="1">
      <alignment vertical="center" wrapText="1"/>
    </xf>
    <xf numFmtId="0" fontId="0" fillId="5" borderId="7" xfId="0" applyFill="1" applyBorder="1" applyAlignment="1">
      <alignment vertical="center" wrapText="1"/>
    </xf>
    <xf numFmtId="0" fontId="0" fillId="6" borderId="5" xfId="0" applyFill="1" applyBorder="1" applyAlignment="1">
      <alignment vertical="center" wrapText="1"/>
    </xf>
    <xf numFmtId="0" fontId="0" fillId="6" borderId="7" xfId="0" applyFill="1" applyBorder="1" applyAlignment="1">
      <alignment vertical="center" wrapText="1"/>
    </xf>
    <xf numFmtId="0" fontId="0" fillId="6" borderId="3" xfId="0" applyFill="1" applyBorder="1" applyAlignment="1">
      <alignment vertical="center" wrapText="1"/>
    </xf>
    <xf numFmtId="0" fontId="0" fillId="5" borderId="3" xfId="0" applyFill="1" applyBorder="1"/>
    <xf numFmtId="0" fontId="0" fillId="6" borderId="3" xfId="0" applyFill="1" applyBorder="1"/>
    <xf numFmtId="0" fontId="0" fillId="5" borderId="7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3" fillId="4" borderId="19" xfId="3" applyBorder="1"/>
    <xf numFmtId="0" fontId="2" fillId="3" borderId="1" xfId="2" applyBorder="1"/>
    <xf numFmtId="0" fontId="1" fillId="2" borderId="1" xfId="1" applyBorder="1"/>
    <xf numFmtId="0" fontId="2" fillId="3" borderId="1" xfId="2" applyBorder="1" applyAlignment="1">
      <alignment vertical="center"/>
    </xf>
    <xf numFmtId="0" fontId="1" fillId="2" borderId="1" xfId="1" applyBorder="1" applyAlignment="1">
      <alignment vertical="center"/>
    </xf>
    <xf numFmtId="0" fontId="0" fillId="0" borderId="0" xfId="0" applyAlignment="1">
      <alignment vertical="top" wrapText="1"/>
    </xf>
    <xf numFmtId="0" fontId="0" fillId="0" borderId="0" xfId="0" applyAlignment="1">
      <alignment vertical="center"/>
    </xf>
    <xf numFmtId="0" fontId="1" fillId="2" borderId="2" xfId="1" applyBorder="1" applyAlignment="1">
      <alignment horizontal="center"/>
    </xf>
    <xf numFmtId="0" fontId="0" fillId="5" borderId="4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6" borderId="4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1" fillId="0" borderId="0" xfId="1" applyFill="1" applyBorder="1"/>
    <xf numFmtId="0" fontId="1" fillId="0" borderId="0" xfId="1" applyFill="1" applyBorder="1" applyAlignment="1"/>
    <xf numFmtId="0" fontId="0" fillId="5" borderId="4" xfId="0" applyFill="1" applyBorder="1"/>
    <xf numFmtId="0" fontId="0" fillId="5" borderId="1" xfId="0" applyFill="1" applyBorder="1"/>
    <xf numFmtId="0" fontId="0" fillId="6" borderId="4" xfId="0" applyFill="1" applyBorder="1"/>
    <xf numFmtId="0" fontId="0" fillId="6" borderId="1" xfId="0" applyFill="1" applyBorder="1"/>
    <xf numFmtId="0" fontId="0" fillId="0" borderId="4" xfId="0" applyBorder="1"/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2" fillId="3" borderId="1" xfId="2" applyBorder="1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1" xfId="0" applyBorder="1" applyAlignment="1">
      <alignment horizontal="center"/>
    </xf>
    <xf numFmtId="0" fontId="1" fillId="2" borderId="1" xfId="1" applyBorder="1" applyAlignment="1">
      <alignment horizontal="center"/>
    </xf>
    <xf numFmtId="0" fontId="1" fillId="2" borderId="4" xfId="1" applyBorder="1" applyAlignment="1">
      <alignment horizontal="right"/>
    </xf>
    <xf numFmtId="0" fontId="1" fillId="2" borderId="3" xfId="1" applyBorder="1" applyAlignment="1">
      <alignment horizontal="right"/>
    </xf>
    <xf numFmtId="0" fontId="3" fillId="4" borderId="11" xfId="3" applyBorder="1" applyAlignment="1">
      <alignment horizontal="center"/>
    </xf>
    <xf numFmtId="0" fontId="3" fillId="4" borderId="21" xfId="3" applyBorder="1" applyAlignment="1">
      <alignment horizontal="center"/>
    </xf>
    <xf numFmtId="0" fontId="0" fillId="5" borderId="1" xfId="0" applyFill="1" applyBorder="1" applyAlignment="1">
      <alignment horizontal="left" vertical="top"/>
    </xf>
    <xf numFmtId="0" fontId="2" fillId="3" borderId="1" xfId="2" applyBorder="1" applyAlignment="1">
      <alignment horizontal="center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3" xfId="0" applyBorder="1" applyAlignment="1">
      <alignment horizontal="right"/>
    </xf>
    <xf numFmtId="0" fontId="1" fillId="2" borderId="11" xfId="1" applyBorder="1" applyAlignment="1">
      <alignment horizontal="center"/>
    </xf>
    <xf numFmtId="0" fontId="1" fillId="2" borderId="3" xfId="1" applyBorder="1" applyAlignment="1">
      <alignment horizontal="center"/>
    </xf>
    <xf numFmtId="0" fontId="1" fillId="2" borderId="20" xfId="1" applyBorder="1" applyAlignment="1">
      <alignment horizontal="center"/>
    </xf>
    <xf numFmtId="0" fontId="1" fillId="2" borderId="10" xfId="1" applyBorder="1" applyAlignment="1">
      <alignment horizontal="center"/>
    </xf>
    <xf numFmtId="0" fontId="3" fillId="4" borderId="14" xfId="3" applyBorder="1" applyAlignment="1">
      <alignment horizontal="center"/>
    </xf>
    <xf numFmtId="0" fontId="0" fillId="5" borderId="4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20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0" fontId="0" fillId="6" borderId="13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6" borderId="14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15" xfId="0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5" borderId="17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DFFE7-E46C-4504-AA4A-7A5452EE64D9}">
  <dimension ref="A1:U38"/>
  <sheetViews>
    <sheetView tabSelected="1" workbookViewId="0">
      <selection activeCell="T15" sqref="T15"/>
    </sheetView>
  </sheetViews>
  <sheetFormatPr defaultRowHeight="15" x14ac:dyDescent="0.25"/>
  <cols>
    <col min="1" max="1" width="3" bestFit="1" customWidth="1"/>
    <col min="2" max="2" width="11.5703125" customWidth="1"/>
    <col min="3" max="20" width="11.7109375" customWidth="1"/>
  </cols>
  <sheetData>
    <row r="1" spans="1:21" ht="15.75" thickBot="1" x14ac:dyDescent="0.3">
      <c r="A1" s="1" t="s">
        <v>0</v>
      </c>
      <c r="B1" s="2" t="s">
        <v>1</v>
      </c>
      <c r="C1" s="3">
        <v>0.35416666666666669</v>
      </c>
      <c r="D1" s="3">
        <v>0.375</v>
      </c>
      <c r="E1" s="3">
        <v>0.39583333333333331</v>
      </c>
      <c r="F1" s="3">
        <v>0.41666666666666669</v>
      </c>
      <c r="G1" s="3">
        <v>0.4375</v>
      </c>
      <c r="H1" s="4">
        <v>0.45833333333333331</v>
      </c>
      <c r="I1" s="3">
        <v>0.47916666666666669</v>
      </c>
      <c r="J1" s="3">
        <v>0.5</v>
      </c>
      <c r="K1" s="3">
        <v>0.52083333333333337</v>
      </c>
      <c r="L1" s="4">
        <v>4.1666666666666664E-2</v>
      </c>
      <c r="M1" s="3">
        <v>6.25E-2</v>
      </c>
      <c r="N1" s="3">
        <v>8.3333333333333329E-2</v>
      </c>
      <c r="O1" s="3">
        <v>0.10416666666666667</v>
      </c>
      <c r="P1" s="3">
        <v>0.125</v>
      </c>
      <c r="Q1" s="3">
        <v>0.14583333333333334</v>
      </c>
      <c r="R1" s="3">
        <v>0.16666666666666666</v>
      </c>
      <c r="S1" s="3">
        <v>0.1875</v>
      </c>
      <c r="T1" s="3">
        <v>0.20833333333333334</v>
      </c>
    </row>
    <row r="2" spans="1:21" ht="15.75" thickBot="1" x14ac:dyDescent="0.3">
      <c r="A2" s="1">
        <v>1</v>
      </c>
      <c r="B2" s="5" t="s">
        <v>2</v>
      </c>
      <c r="C2" s="71" t="s">
        <v>3</v>
      </c>
      <c r="D2" s="72"/>
      <c r="E2" s="72"/>
      <c r="F2" s="72"/>
      <c r="G2" s="72"/>
      <c r="H2" s="73"/>
      <c r="I2" s="6" t="s">
        <v>4</v>
      </c>
      <c r="J2" s="100" t="s">
        <v>3</v>
      </c>
      <c r="K2" s="78"/>
      <c r="L2" s="78"/>
      <c r="M2" s="78"/>
      <c r="N2" s="78"/>
      <c r="O2" s="74"/>
      <c r="P2" s="71" t="s">
        <v>5</v>
      </c>
      <c r="Q2" s="72"/>
      <c r="R2" s="72"/>
      <c r="S2" s="72"/>
      <c r="T2" s="79"/>
    </row>
    <row r="3" spans="1:21" ht="15.75" thickBot="1" x14ac:dyDescent="0.3">
      <c r="A3" s="1">
        <v>2</v>
      </c>
      <c r="B3" s="7" t="s">
        <v>6</v>
      </c>
      <c r="C3" s="80" t="s">
        <v>3</v>
      </c>
      <c r="D3" s="81"/>
      <c r="E3" s="81"/>
      <c r="F3" s="81"/>
      <c r="G3" s="81"/>
      <c r="H3" s="81"/>
      <c r="I3" s="82"/>
      <c r="J3" s="8" t="s">
        <v>4</v>
      </c>
      <c r="K3" s="98" t="s">
        <v>3</v>
      </c>
      <c r="L3" s="99"/>
      <c r="M3" s="99"/>
      <c r="N3" s="99"/>
      <c r="O3" s="93"/>
      <c r="P3" s="84" t="s">
        <v>5</v>
      </c>
      <c r="Q3" s="85"/>
      <c r="R3" s="85"/>
      <c r="S3" s="85"/>
      <c r="T3" s="86"/>
    </row>
    <row r="4" spans="1:21" ht="15.75" thickBot="1" x14ac:dyDescent="0.3">
      <c r="A4" s="1">
        <v>3</v>
      </c>
      <c r="B4" s="5" t="s">
        <v>7</v>
      </c>
      <c r="C4" s="87" t="s">
        <v>3</v>
      </c>
      <c r="D4" s="88"/>
      <c r="E4" s="88"/>
      <c r="F4" s="88"/>
      <c r="G4" s="88"/>
      <c r="H4" s="88"/>
      <c r="I4" s="88"/>
      <c r="J4" s="89"/>
      <c r="K4" s="6" t="s">
        <v>4</v>
      </c>
      <c r="L4" s="100" t="s">
        <v>3</v>
      </c>
      <c r="M4" s="78"/>
      <c r="N4" s="78"/>
      <c r="O4" s="74"/>
      <c r="P4" s="71" t="s">
        <v>5</v>
      </c>
      <c r="Q4" s="72"/>
      <c r="R4" s="72"/>
      <c r="S4" s="72"/>
      <c r="T4" s="79"/>
    </row>
    <row r="5" spans="1:21" ht="15.75" thickBot="1" x14ac:dyDescent="0.3">
      <c r="A5" s="1">
        <v>4</v>
      </c>
      <c r="B5" s="7" t="s">
        <v>8</v>
      </c>
      <c r="C5" s="90" t="s">
        <v>3</v>
      </c>
      <c r="D5" s="91"/>
      <c r="E5" s="91"/>
      <c r="F5" s="91"/>
      <c r="G5" s="91"/>
      <c r="H5" s="91"/>
      <c r="I5" s="91"/>
      <c r="J5" s="91"/>
      <c r="K5" s="92"/>
      <c r="L5" s="8" t="s">
        <v>4</v>
      </c>
      <c r="M5" s="101" t="s">
        <v>3</v>
      </c>
      <c r="N5" s="85"/>
      <c r="O5" s="86"/>
      <c r="P5" s="84" t="s">
        <v>5</v>
      </c>
      <c r="Q5" s="85"/>
      <c r="R5" s="85"/>
      <c r="S5" s="85"/>
      <c r="T5" s="86"/>
    </row>
    <row r="6" spans="1:21" ht="15.75" thickBot="1" x14ac:dyDescent="0.3">
      <c r="A6" s="1">
        <v>5</v>
      </c>
      <c r="B6" s="5" t="s">
        <v>9</v>
      </c>
      <c r="C6" s="71" t="s">
        <v>3</v>
      </c>
      <c r="D6" s="72"/>
      <c r="E6" s="72"/>
      <c r="F6" s="72"/>
      <c r="G6" s="72"/>
      <c r="H6" s="73"/>
      <c r="I6" s="6" t="s">
        <v>4</v>
      </c>
      <c r="J6" s="95" t="s">
        <v>3</v>
      </c>
      <c r="K6" s="96"/>
      <c r="L6" s="96"/>
      <c r="M6" s="96"/>
      <c r="N6" s="96"/>
      <c r="O6" s="97"/>
      <c r="P6" s="71" t="s">
        <v>5</v>
      </c>
      <c r="Q6" s="72"/>
      <c r="R6" s="72"/>
      <c r="S6" s="72"/>
      <c r="T6" s="79"/>
    </row>
    <row r="7" spans="1:21" ht="15.75" thickBot="1" x14ac:dyDescent="0.3">
      <c r="A7" s="1">
        <v>6</v>
      </c>
      <c r="B7" s="9" t="s">
        <v>10</v>
      </c>
      <c r="C7" s="80" t="s">
        <v>3</v>
      </c>
      <c r="D7" s="81"/>
      <c r="E7" s="81"/>
      <c r="F7" s="81"/>
      <c r="G7" s="81"/>
      <c r="H7" s="81"/>
      <c r="I7" s="82"/>
      <c r="J7" s="8" t="s">
        <v>4</v>
      </c>
      <c r="K7" s="98" t="s">
        <v>3</v>
      </c>
      <c r="L7" s="99"/>
      <c r="M7" s="99"/>
      <c r="N7" s="99"/>
      <c r="O7" s="93"/>
      <c r="P7" s="84" t="s">
        <v>11</v>
      </c>
      <c r="Q7" s="85"/>
      <c r="R7" s="85"/>
      <c r="S7" s="85"/>
      <c r="T7" s="86"/>
    </row>
    <row r="8" spans="1:21" ht="15.75" thickBot="1" x14ac:dyDescent="0.3">
      <c r="A8" s="1">
        <v>7</v>
      </c>
      <c r="B8" s="10" t="s">
        <v>12</v>
      </c>
      <c r="C8" s="87" t="s">
        <v>3</v>
      </c>
      <c r="D8" s="88"/>
      <c r="E8" s="88"/>
      <c r="F8" s="88"/>
      <c r="G8" s="88"/>
      <c r="H8" s="88"/>
      <c r="I8" s="88"/>
      <c r="J8" s="89"/>
      <c r="K8" s="6" t="s">
        <v>4</v>
      </c>
      <c r="L8" s="74" t="s">
        <v>13</v>
      </c>
      <c r="M8" s="76"/>
      <c r="N8" s="76"/>
      <c r="O8" s="76"/>
      <c r="P8" s="72" t="s">
        <v>11</v>
      </c>
      <c r="Q8" s="72"/>
      <c r="R8" s="72"/>
      <c r="S8" s="72"/>
      <c r="T8" s="79"/>
    </row>
    <row r="9" spans="1:21" ht="15.75" thickBot="1" x14ac:dyDescent="0.3">
      <c r="A9" s="1">
        <v>8</v>
      </c>
      <c r="B9" s="11" t="s">
        <v>14</v>
      </c>
      <c r="C9" s="90" t="s">
        <v>3</v>
      </c>
      <c r="D9" s="91"/>
      <c r="E9" s="91"/>
      <c r="F9" s="91"/>
      <c r="G9" s="91"/>
      <c r="H9" s="91"/>
      <c r="I9" s="91"/>
      <c r="J9" s="91"/>
      <c r="K9" s="92"/>
      <c r="L9" s="8" t="s">
        <v>4</v>
      </c>
      <c r="M9" s="93" t="s">
        <v>13</v>
      </c>
      <c r="N9" s="94"/>
      <c r="O9" s="94"/>
      <c r="P9" s="85" t="s">
        <v>11</v>
      </c>
      <c r="Q9" s="85"/>
      <c r="R9" s="85"/>
      <c r="S9" s="85"/>
      <c r="T9" s="86"/>
    </row>
    <row r="10" spans="1:21" ht="15.75" thickBot="1" x14ac:dyDescent="0.3">
      <c r="A10" s="1">
        <v>9</v>
      </c>
      <c r="B10" s="10" t="s">
        <v>15</v>
      </c>
      <c r="C10" s="71" t="s">
        <v>3</v>
      </c>
      <c r="D10" s="72"/>
      <c r="E10" s="72"/>
      <c r="F10" s="72"/>
      <c r="G10" s="72"/>
      <c r="H10" s="72"/>
      <c r="I10" s="73"/>
      <c r="J10" s="12" t="s">
        <v>4</v>
      </c>
      <c r="K10" s="74" t="s">
        <v>11</v>
      </c>
      <c r="L10" s="75"/>
      <c r="M10" s="76"/>
      <c r="N10" s="76"/>
      <c r="O10" s="76"/>
      <c r="P10" s="77" t="s">
        <v>11</v>
      </c>
      <c r="Q10" s="78"/>
      <c r="R10" s="72"/>
      <c r="S10" s="72"/>
      <c r="T10" s="79"/>
    </row>
    <row r="11" spans="1:21" ht="15.75" thickBot="1" x14ac:dyDescent="0.3">
      <c r="A11" s="1">
        <v>10</v>
      </c>
      <c r="B11" s="11" t="s">
        <v>16</v>
      </c>
      <c r="C11" s="80" t="s">
        <v>3</v>
      </c>
      <c r="D11" s="81"/>
      <c r="E11" s="81"/>
      <c r="F11" s="81"/>
      <c r="G11" s="81"/>
      <c r="H11" s="81"/>
      <c r="I11" s="81"/>
      <c r="J11" s="82"/>
      <c r="K11" s="13" t="s">
        <v>4</v>
      </c>
      <c r="L11" s="81" t="s">
        <v>11</v>
      </c>
      <c r="M11" s="81"/>
      <c r="N11" s="81"/>
      <c r="O11" s="83"/>
      <c r="P11" s="84" t="s">
        <v>11</v>
      </c>
      <c r="Q11" s="85"/>
      <c r="R11" s="85"/>
      <c r="S11" s="85"/>
      <c r="T11" s="86"/>
    </row>
    <row r="12" spans="1:21" x14ac:dyDescent="0.25">
      <c r="A12" s="33" t="s">
        <v>17</v>
      </c>
      <c r="B12" s="33"/>
      <c r="C12" s="14">
        <v>321</v>
      </c>
      <c r="D12" s="59">
        <v>642</v>
      </c>
      <c r="E12" s="60"/>
      <c r="F12" s="59">
        <v>642</v>
      </c>
      <c r="G12" s="60"/>
      <c r="H12" s="70">
        <v>642</v>
      </c>
      <c r="I12" s="60"/>
      <c r="J12" s="59">
        <v>642</v>
      </c>
      <c r="K12" s="60"/>
      <c r="L12" s="59">
        <v>642</v>
      </c>
      <c r="M12" s="60"/>
      <c r="N12" s="59">
        <v>642</v>
      </c>
      <c r="O12" s="60"/>
      <c r="P12" s="59">
        <v>642</v>
      </c>
      <c r="Q12" s="60"/>
      <c r="R12" s="59">
        <v>642</v>
      </c>
      <c r="S12" s="60"/>
      <c r="T12" s="14">
        <v>321</v>
      </c>
      <c r="U12">
        <f>SUM(C12:G12,H12,J12,L12,N12,P12:T12)</f>
        <v>5778</v>
      </c>
    </row>
    <row r="13" spans="1:21" x14ac:dyDescent="0.25">
      <c r="A13" s="61" t="s">
        <v>18</v>
      </c>
      <c r="B13" s="61"/>
      <c r="C13" s="61"/>
      <c r="D13" s="61"/>
      <c r="E13" s="61"/>
      <c r="F13" s="61"/>
      <c r="G13" s="61"/>
      <c r="H13" s="61"/>
      <c r="I13" s="15">
        <v>49</v>
      </c>
      <c r="J13" s="15">
        <v>84</v>
      </c>
      <c r="K13" s="15">
        <v>84</v>
      </c>
      <c r="L13" s="15">
        <v>152.5</v>
      </c>
      <c r="M13" s="15">
        <v>114</v>
      </c>
      <c r="N13" s="15">
        <v>114</v>
      </c>
      <c r="O13" s="15">
        <v>114</v>
      </c>
      <c r="P13" s="15">
        <v>114</v>
      </c>
      <c r="Q13" s="15">
        <v>114</v>
      </c>
      <c r="R13" s="62" t="s">
        <v>19</v>
      </c>
      <c r="S13" s="62"/>
      <c r="T13" s="15">
        <f>SUM(I13:R13)</f>
        <v>939.5</v>
      </c>
    </row>
    <row r="14" spans="1:21" x14ac:dyDescent="0.25">
      <c r="A14" s="63" t="s">
        <v>20</v>
      </c>
      <c r="B14" s="64"/>
      <c r="C14" s="64"/>
      <c r="D14" s="64"/>
      <c r="E14" s="64"/>
      <c r="F14" s="64"/>
      <c r="G14" s="65"/>
      <c r="H14" s="66">
        <v>538.5</v>
      </c>
      <c r="I14" s="67"/>
      <c r="J14" s="56">
        <v>382.5</v>
      </c>
      <c r="K14" s="56"/>
      <c r="L14" s="68">
        <v>375.5</v>
      </c>
      <c r="M14" s="69"/>
      <c r="N14" s="56">
        <v>528</v>
      </c>
      <c r="O14" s="56"/>
      <c r="P14" s="56">
        <v>528</v>
      </c>
      <c r="Q14" s="56"/>
      <c r="R14" s="57" t="s">
        <v>21</v>
      </c>
      <c r="S14" s="58"/>
      <c r="T14" s="16">
        <f>SUM(C12,D12,F12,H14:Q14)</f>
        <v>3957.5</v>
      </c>
    </row>
    <row r="15" spans="1:21" x14ac:dyDescent="0.25">
      <c r="H15" s="16">
        <v>269.25</v>
      </c>
      <c r="I15" s="16">
        <v>269.25</v>
      </c>
      <c r="L15" s="1" t="s">
        <v>22</v>
      </c>
      <c r="M15" s="1" t="s">
        <v>22</v>
      </c>
    </row>
    <row r="16" spans="1:21" x14ac:dyDescent="0.25">
      <c r="K16" s="1" t="s">
        <v>23</v>
      </c>
      <c r="L16" s="1" t="s">
        <v>23</v>
      </c>
    </row>
    <row r="18" spans="2:21" x14ac:dyDescent="0.25">
      <c r="G18" s="33" t="s">
        <v>24</v>
      </c>
      <c r="H18" s="33"/>
      <c r="I18" s="33"/>
    </row>
    <row r="19" spans="2:21" x14ac:dyDescent="0.25">
      <c r="C19" s="33" t="s">
        <v>25</v>
      </c>
      <c r="D19" s="33"/>
      <c r="E19" s="33" t="s">
        <v>26</v>
      </c>
      <c r="F19" s="34"/>
      <c r="G19" s="33" t="s">
        <v>27</v>
      </c>
      <c r="H19" s="33"/>
      <c r="I19" s="15">
        <f>SUM(I13:Q13)</f>
        <v>939.5</v>
      </c>
    </row>
    <row r="20" spans="2:21" x14ac:dyDescent="0.25">
      <c r="C20" s="33" t="s">
        <v>28</v>
      </c>
      <c r="D20" s="33"/>
      <c r="E20" s="33" t="s">
        <v>29</v>
      </c>
      <c r="F20" s="33"/>
      <c r="G20" s="33" t="s">
        <v>30</v>
      </c>
      <c r="H20" s="33"/>
      <c r="I20" s="15">
        <v>320</v>
      </c>
      <c r="J20" s="33" t="s">
        <v>31</v>
      </c>
      <c r="K20" s="33"/>
      <c r="L20" s="15">
        <f>SUM(C12:G12,H15)</f>
        <v>1874.25</v>
      </c>
      <c r="M20" s="33" t="s">
        <v>32</v>
      </c>
      <c r="N20" s="33"/>
      <c r="O20" s="17">
        <f>SUM(C12:G12,H14:K14)</f>
        <v>2526</v>
      </c>
    </row>
    <row r="21" spans="2:21" x14ac:dyDescent="0.25">
      <c r="C21" s="33" t="s">
        <v>33</v>
      </c>
      <c r="D21" s="33"/>
      <c r="E21" s="50"/>
      <c r="F21" s="51"/>
      <c r="G21" s="33" t="s">
        <v>34</v>
      </c>
      <c r="H21" s="33"/>
      <c r="I21" s="15">
        <v>15.25</v>
      </c>
      <c r="J21" s="33" t="s">
        <v>35</v>
      </c>
      <c r="K21" s="33"/>
      <c r="L21" s="15">
        <v>320</v>
      </c>
      <c r="M21" s="33" t="s">
        <v>36</v>
      </c>
      <c r="N21" s="33"/>
      <c r="O21" s="15">
        <f>SUM(I13:K13)</f>
        <v>217</v>
      </c>
    </row>
    <row r="22" spans="2:21" x14ac:dyDescent="0.25">
      <c r="C22" s="33" t="s">
        <v>37</v>
      </c>
      <c r="D22" s="33"/>
      <c r="E22" s="52"/>
      <c r="F22" s="53"/>
      <c r="G22" s="33" t="s">
        <v>38</v>
      </c>
      <c r="H22" s="33"/>
      <c r="I22" s="15">
        <v>15.25</v>
      </c>
      <c r="J22" s="33" t="s">
        <v>39</v>
      </c>
      <c r="K22" s="33"/>
      <c r="L22" s="15">
        <f>SUM(I21:I23)</f>
        <v>42</v>
      </c>
      <c r="M22" s="33" t="s">
        <v>35</v>
      </c>
      <c r="N22" s="33"/>
      <c r="O22" s="15">
        <v>160.5</v>
      </c>
    </row>
    <row r="23" spans="2:21" x14ac:dyDescent="0.25">
      <c r="C23" s="33" t="s">
        <v>40</v>
      </c>
      <c r="D23" s="33"/>
      <c r="E23" s="54"/>
      <c r="F23" s="55"/>
      <c r="G23" s="33" t="s">
        <v>41</v>
      </c>
      <c r="H23" s="33"/>
      <c r="I23" s="15">
        <v>11.5</v>
      </c>
      <c r="J23" s="48" t="s">
        <v>42</v>
      </c>
      <c r="K23" s="48"/>
      <c r="L23" s="16">
        <f>L20 - L21 - 42</f>
        <v>1512.25</v>
      </c>
      <c r="M23" s="33" t="s">
        <v>39</v>
      </c>
      <c r="N23" s="33"/>
      <c r="O23" s="15">
        <f>SUM(I21:I23)</f>
        <v>42</v>
      </c>
    </row>
    <row r="24" spans="2:21" x14ac:dyDescent="0.25">
      <c r="C24" s="33" t="s">
        <v>43</v>
      </c>
      <c r="D24" s="33"/>
      <c r="E24" s="33"/>
      <c r="F24" s="34"/>
      <c r="G24" s="45" t="s">
        <v>44</v>
      </c>
      <c r="H24" s="45"/>
      <c r="I24" s="46">
        <f>SUM(I19:I23)</f>
        <v>1301.5</v>
      </c>
      <c r="J24" s="47"/>
      <c r="K24" s="47"/>
      <c r="M24" s="48" t="s">
        <v>45</v>
      </c>
      <c r="N24" s="48"/>
      <c r="O24" s="18">
        <f>O20 - O21 - O22 - O23</f>
        <v>2106.5</v>
      </c>
      <c r="Q24" s="19"/>
      <c r="R24" s="19"/>
      <c r="S24" s="19"/>
    </row>
    <row r="25" spans="2:21" x14ac:dyDescent="0.25">
      <c r="C25" s="34" t="s">
        <v>46</v>
      </c>
      <c r="D25" s="35"/>
      <c r="E25" s="35"/>
      <c r="F25" s="49"/>
      <c r="G25" s="45"/>
      <c r="H25" s="45"/>
      <c r="I25" s="46"/>
      <c r="J25" s="19"/>
      <c r="K25" s="19"/>
      <c r="M25" s="19"/>
      <c r="N25" s="19"/>
      <c r="O25" s="20"/>
      <c r="Q25" s="19"/>
      <c r="R25" s="19"/>
      <c r="S25" s="19"/>
    </row>
    <row r="26" spans="2:21" x14ac:dyDescent="0.25">
      <c r="E26" s="35" t="s">
        <v>47</v>
      </c>
      <c r="F26" s="35"/>
      <c r="G26" s="35"/>
      <c r="H26" s="36"/>
      <c r="I26" s="21">
        <f>T14 - I24</f>
        <v>2656</v>
      </c>
      <c r="J26" s="19"/>
      <c r="K26" s="19"/>
      <c r="M26" s="19"/>
      <c r="N26" s="19"/>
      <c r="O26" s="20"/>
      <c r="Q26" s="19"/>
      <c r="R26" s="19"/>
      <c r="S26" s="19"/>
    </row>
    <row r="27" spans="2:21" x14ac:dyDescent="0.25">
      <c r="B27" s="2" t="s">
        <v>1</v>
      </c>
      <c r="C27" s="34" t="s">
        <v>48</v>
      </c>
      <c r="D27" s="36"/>
      <c r="E27" s="33" t="s">
        <v>49</v>
      </c>
      <c r="F27" s="33"/>
      <c r="G27" s="33"/>
      <c r="H27" s="40" t="s">
        <v>50</v>
      </c>
      <c r="I27" s="40"/>
      <c r="J27" s="40"/>
      <c r="K27" s="33" t="s">
        <v>51</v>
      </c>
      <c r="L27" s="33"/>
      <c r="M27" s="33"/>
      <c r="N27" s="2" t="s">
        <v>1</v>
      </c>
      <c r="Q27" s="19"/>
      <c r="R27" s="19"/>
      <c r="S27" s="19"/>
    </row>
    <row r="28" spans="2:21" x14ac:dyDescent="0.25">
      <c r="B28" s="22" t="s">
        <v>6</v>
      </c>
      <c r="C28" s="41">
        <v>400</v>
      </c>
      <c r="D28" s="41"/>
      <c r="E28" s="41">
        <v>61</v>
      </c>
      <c r="F28" s="41"/>
      <c r="G28" s="41"/>
      <c r="H28" s="41">
        <v>30.5</v>
      </c>
      <c r="I28" s="41"/>
      <c r="J28" s="41"/>
      <c r="K28" s="41">
        <v>15.25</v>
      </c>
      <c r="L28" s="41"/>
      <c r="M28" s="41"/>
      <c r="N28" s="23" t="s">
        <v>6</v>
      </c>
      <c r="Q28" s="19"/>
      <c r="R28" s="19"/>
      <c r="S28" s="19"/>
    </row>
    <row r="29" spans="2:21" x14ac:dyDescent="0.25">
      <c r="B29" s="24" t="s">
        <v>2</v>
      </c>
      <c r="C29" s="33">
        <v>600</v>
      </c>
      <c r="D29" s="33"/>
      <c r="E29" s="33">
        <v>92</v>
      </c>
      <c r="F29" s="33"/>
      <c r="G29" s="33"/>
      <c r="H29" s="40">
        <v>46</v>
      </c>
      <c r="I29" s="40"/>
      <c r="J29" s="40"/>
      <c r="K29" s="33">
        <v>23</v>
      </c>
      <c r="L29" s="33"/>
      <c r="M29" s="33"/>
      <c r="N29" s="25" t="s">
        <v>2</v>
      </c>
      <c r="Q29" s="19"/>
      <c r="R29" s="19"/>
      <c r="S29" s="19"/>
    </row>
    <row r="30" spans="2:21" x14ac:dyDescent="0.25">
      <c r="B30" s="22" t="s">
        <v>8</v>
      </c>
      <c r="C30" s="41">
        <v>400</v>
      </c>
      <c r="D30" s="41"/>
      <c r="E30" s="41">
        <v>61</v>
      </c>
      <c r="F30" s="41"/>
      <c r="G30" s="41"/>
      <c r="H30" s="41">
        <v>30.5</v>
      </c>
      <c r="I30" s="41"/>
      <c r="J30" s="41"/>
      <c r="K30" s="41">
        <v>15.25</v>
      </c>
      <c r="L30" s="41"/>
      <c r="M30" s="41"/>
      <c r="N30" s="23" t="s">
        <v>8</v>
      </c>
    </row>
    <row r="31" spans="2:21" x14ac:dyDescent="0.25">
      <c r="B31" s="24" t="s">
        <v>7</v>
      </c>
      <c r="C31" s="33">
        <v>600</v>
      </c>
      <c r="D31" s="33"/>
      <c r="E31" s="33">
        <v>92</v>
      </c>
      <c r="F31" s="33"/>
      <c r="G31" s="33"/>
      <c r="H31" s="40">
        <v>46</v>
      </c>
      <c r="I31" s="40"/>
      <c r="J31" s="40"/>
      <c r="K31" s="33">
        <v>23</v>
      </c>
      <c r="L31" s="33"/>
      <c r="M31" s="33"/>
      <c r="N31" s="25" t="s">
        <v>7</v>
      </c>
    </row>
    <row r="32" spans="2:21" x14ac:dyDescent="0.25">
      <c r="B32" s="22" t="s">
        <v>9</v>
      </c>
      <c r="C32" s="41">
        <v>300</v>
      </c>
      <c r="D32" s="41"/>
      <c r="E32" s="42">
        <v>46</v>
      </c>
      <c r="F32" s="43"/>
      <c r="G32" s="44"/>
      <c r="H32" s="42">
        <v>23</v>
      </c>
      <c r="I32" s="43"/>
      <c r="J32" s="44"/>
      <c r="K32" s="42">
        <v>11.5</v>
      </c>
      <c r="L32" s="43"/>
      <c r="M32" s="44"/>
      <c r="N32" s="23" t="s">
        <v>9</v>
      </c>
      <c r="S32" s="26"/>
      <c r="T32" s="27"/>
      <c r="U32" s="26"/>
    </row>
    <row r="33" spans="2:21" x14ac:dyDescent="0.25">
      <c r="B33" s="24" t="s">
        <v>10</v>
      </c>
      <c r="C33" s="33">
        <v>400</v>
      </c>
      <c r="D33" s="33"/>
      <c r="E33" s="40">
        <v>61</v>
      </c>
      <c r="F33" s="40"/>
      <c r="G33" s="40"/>
      <c r="H33" s="40">
        <v>30.5</v>
      </c>
      <c r="I33" s="40"/>
      <c r="J33" s="40"/>
      <c r="K33" s="40">
        <v>15.25</v>
      </c>
      <c r="L33" s="40"/>
      <c r="M33" s="40"/>
      <c r="N33" s="25" t="s">
        <v>10</v>
      </c>
      <c r="S33" s="27"/>
      <c r="T33" s="27"/>
      <c r="U33" s="26"/>
    </row>
    <row r="34" spans="2:21" x14ac:dyDescent="0.25">
      <c r="B34" s="28" t="s">
        <v>12</v>
      </c>
      <c r="C34" s="41">
        <v>400</v>
      </c>
      <c r="D34" s="41"/>
      <c r="E34" s="41">
        <v>61</v>
      </c>
      <c r="F34" s="41"/>
      <c r="G34" s="41"/>
      <c r="H34" s="41">
        <v>30.5</v>
      </c>
      <c r="I34" s="41"/>
      <c r="J34" s="41"/>
      <c r="K34" s="41">
        <v>15.25</v>
      </c>
      <c r="L34" s="41"/>
      <c r="M34" s="41"/>
      <c r="N34" s="29" t="s">
        <v>12</v>
      </c>
      <c r="S34" s="27"/>
      <c r="T34" s="27"/>
      <c r="U34" s="26"/>
    </row>
    <row r="35" spans="2:21" x14ac:dyDescent="0.25">
      <c r="B35" s="30" t="s">
        <v>14</v>
      </c>
      <c r="C35" s="33">
        <v>400</v>
      </c>
      <c r="D35" s="33"/>
      <c r="E35" s="40">
        <v>61</v>
      </c>
      <c r="F35" s="40"/>
      <c r="G35" s="40"/>
      <c r="H35" s="40">
        <v>30.5</v>
      </c>
      <c r="I35" s="40"/>
      <c r="J35" s="40"/>
      <c r="K35" s="40">
        <v>15.25</v>
      </c>
      <c r="L35" s="40"/>
      <c r="M35" s="40"/>
      <c r="N35" s="31" t="s">
        <v>14</v>
      </c>
      <c r="S35" s="26"/>
      <c r="T35" s="27"/>
      <c r="U35" s="26"/>
    </row>
    <row r="36" spans="2:21" x14ac:dyDescent="0.25">
      <c r="B36" s="28" t="s">
        <v>16</v>
      </c>
      <c r="C36" s="41">
        <v>400</v>
      </c>
      <c r="D36" s="41"/>
      <c r="E36" s="41">
        <v>61</v>
      </c>
      <c r="F36" s="41"/>
      <c r="G36" s="41"/>
      <c r="H36" s="41">
        <v>30.5</v>
      </c>
      <c r="I36" s="41"/>
      <c r="J36" s="41"/>
      <c r="K36" s="41">
        <v>15.25</v>
      </c>
      <c r="L36" s="41"/>
      <c r="M36" s="41"/>
      <c r="N36" s="29" t="s">
        <v>16</v>
      </c>
      <c r="S36" s="26"/>
      <c r="T36" s="27"/>
      <c r="U36" s="26"/>
    </row>
    <row r="37" spans="2:21" x14ac:dyDescent="0.25">
      <c r="B37" s="32" t="s">
        <v>15</v>
      </c>
      <c r="C37" s="33">
        <v>300</v>
      </c>
      <c r="D37" s="33"/>
      <c r="E37" s="34">
        <v>46</v>
      </c>
      <c r="F37" s="35"/>
      <c r="G37" s="36"/>
      <c r="H37" s="37">
        <v>23</v>
      </c>
      <c r="I37" s="38"/>
      <c r="J37" s="39"/>
      <c r="K37" s="37">
        <v>11.5</v>
      </c>
      <c r="L37" s="38"/>
      <c r="M37" s="39"/>
      <c r="N37" s="1" t="s">
        <v>15</v>
      </c>
      <c r="S37" s="27"/>
      <c r="T37" s="27"/>
      <c r="U37" s="26"/>
    </row>
    <row r="38" spans="2:21" x14ac:dyDescent="0.25">
      <c r="C38">
        <f>SUM(C28:D37)</f>
        <v>4200</v>
      </c>
      <c r="E38">
        <f>SUM(E28:G37)</f>
        <v>642</v>
      </c>
      <c r="H38">
        <f>SUM(H28:J37)</f>
        <v>321</v>
      </c>
      <c r="K38">
        <f>SUM(K28:M37)</f>
        <v>160.5</v>
      </c>
      <c r="S38" s="27"/>
      <c r="T38" s="27"/>
      <c r="U38" s="26"/>
    </row>
  </sheetData>
  <mergeCells count="121">
    <mergeCell ref="C2:H2"/>
    <mergeCell ref="J2:O2"/>
    <mergeCell ref="P2:T2"/>
    <mergeCell ref="C3:I3"/>
    <mergeCell ref="K3:O3"/>
    <mergeCell ref="P3:T3"/>
    <mergeCell ref="C6:H6"/>
    <mergeCell ref="J6:O6"/>
    <mergeCell ref="P6:T6"/>
    <mergeCell ref="C7:I7"/>
    <mergeCell ref="K7:O7"/>
    <mergeCell ref="P7:T7"/>
    <mergeCell ref="C4:J4"/>
    <mergeCell ref="L4:O4"/>
    <mergeCell ref="P4:T4"/>
    <mergeCell ref="C5:K5"/>
    <mergeCell ref="M5:O5"/>
    <mergeCell ref="P5:T5"/>
    <mergeCell ref="C10:I10"/>
    <mergeCell ref="K10:O10"/>
    <mergeCell ref="P10:T10"/>
    <mergeCell ref="C11:J11"/>
    <mergeCell ref="L11:O11"/>
    <mergeCell ref="P11:T11"/>
    <mergeCell ref="C8:J8"/>
    <mergeCell ref="L8:O8"/>
    <mergeCell ref="P8:T8"/>
    <mergeCell ref="C9:K9"/>
    <mergeCell ref="M9:O9"/>
    <mergeCell ref="P9:T9"/>
    <mergeCell ref="P14:Q14"/>
    <mergeCell ref="R14:S14"/>
    <mergeCell ref="G18:I18"/>
    <mergeCell ref="C19:D19"/>
    <mergeCell ref="E19:F19"/>
    <mergeCell ref="G19:H19"/>
    <mergeCell ref="N12:O12"/>
    <mergeCell ref="P12:Q12"/>
    <mergeCell ref="R12:S12"/>
    <mergeCell ref="A13:H13"/>
    <mergeCell ref="R13:S13"/>
    <mergeCell ref="A14:G14"/>
    <mergeCell ref="H14:I14"/>
    <mergeCell ref="J14:K14"/>
    <mergeCell ref="L14:M14"/>
    <mergeCell ref="N14:O14"/>
    <mergeCell ref="A12:B12"/>
    <mergeCell ref="D12:E12"/>
    <mergeCell ref="F12:G12"/>
    <mergeCell ref="H12:I12"/>
    <mergeCell ref="J12:K12"/>
    <mergeCell ref="L12:M12"/>
    <mergeCell ref="C20:D20"/>
    <mergeCell ref="E20:F20"/>
    <mergeCell ref="G20:H20"/>
    <mergeCell ref="J20:K20"/>
    <mergeCell ref="M20:N20"/>
    <mergeCell ref="C21:D21"/>
    <mergeCell ref="E21:F23"/>
    <mergeCell ref="G21:H21"/>
    <mergeCell ref="J21:K21"/>
    <mergeCell ref="M21:N21"/>
    <mergeCell ref="C24:F24"/>
    <mergeCell ref="G24:H25"/>
    <mergeCell ref="I24:I25"/>
    <mergeCell ref="J24:K24"/>
    <mergeCell ref="M24:N24"/>
    <mergeCell ref="C25:F25"/>
    <mergeCell ref="C22:D22"/>
    <mergeCell ref="G22:H22"/>
    <mergeCell ref="J22:K22"/>
    <mergeCell ref="M22:N22"/>
    <mergeCell ref="C23:D23"/>
    <mergeCell ref="G23:H23"/>
    <mergeCell ref="J23:K23"/>
    <mergeCell ref="M23:N23"/>
    <mergeCell ref="C29:D29"/>
    <mergeCell ref="E29:G29"/>
    <mergeCell ref="H29:J29"/>
    <mergeCell ref="K29:M29"/>
    <mergeCell ref="C30:D30"/>
    <mergeCell ref="E30:G30"/>
    <mergeCell ref="H30:J30"/>
    <mergeCell ref="K30:M30"/>
    <mergeCell ref="E26:H26"/>
    <mergeCell ref="C27:D27"/>
    <mergeCell ref="E27:G27"/>
    <mergeCell ref="H27:J27"/>
    <mergeCell ref="K27:M27"/>
    <mergeCell ref="C28:D28"/>
    <mergeCell ref="E28:G28"/>
    <mergeCell ref="H28:J28"/>
    <mergeCell ref="K28:M28"/>
    <mergeCell ref="C33:D33"/>
    <mergeCell ref="E33:G33"/>
    <mergeCell ref="H33:J33"/>
    <mergeCell ref="K33:M33"/>
    <mergeCell ref="C34:D34"/>
    <mergeCell ref="E34:G34"/>
    <mergeCell ref="H34:J34"/>
    <mergeCell ref="K34:M34"/>
    <mergeCell ref="C31:D31"/>
    <mergeCell ref="E31:G31"/>
    <mergeCell ref="H31:J31"/>
    <mergeCell ref="K31:M31"/>
    <mergeCell ref="C32:D32"/>
    <mergeCell ref="E32:G32"/>
    <mergeCell ref="H32:J32"/>
    <mergeCell ref="K32:M32"/>
    <mergeCell ref="C37:D37"/>
    <mergeCell ref="E37:G37"/>
    <mergeCell ref="H37:J37"/>
    <mergeCell ref="K37:M37"/>
    <mergeCell ref="C35:D35"/>
    <mergeCell ref="E35:G35"/>
    <mergeCell ref="H35:J35"/>
    <mergeCell ref="K35:M35"/>
    <mergeCell ref="C36:D36"/>
    <mergeCell ref="E36:G36"/>
    <mergeCell ref="H36:J36"/>
    <mergeCell ref="K36:M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Overall Dowtime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 Mendez</dc:creator>
  <cp:lastModifiedBy>Eli Mendez</cp:lastModifiedBy>
  <dcterms:created xsi:type="dcterms:W3CDTF">2026-02-04T02:41:32Z</dcterms:created>
  <dcterms:modified xsi:type="dcterms:W3CDTF">2026-02-04T02:58:23Z</dcterms:modified>
</cp:coreProperties>
</file>